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ート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eiryo UI"/>
      <i val="1"/>
      <color rgb="00595959"/>
      <sz val="9"/>
    </font>
    <font>
      <name val="Meiryo UI"/>
      <b val="1"/>
      <sz val="10"/>
    </font>
    <font>
      <name val="Meiryo UI"/>
      <sz val="10"/>
    </font>
    <font>
      <name val="Meiryo UI"/>
      <b val="1"/>
      <color rgb="00C00000"/>
      <sz val="11"/>
    </font>
  </fonts>
  <fills count="6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right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/>
    </xf>
    <xf numFmtId="3" fontId="3" fillId="0" borderId="1" applyAlignment="1" pivotButton="0" quotePrefix="0" xfId="0">
      <alignment horizontal="right"/>
    </xf>
    <xf numFmtId="10" fontId="3" fillId="0" borderId="1" applyAlignment="1" pivotButton="0" quotePrefix="0" xfId="0">
      <alignment horizontal="right"/>
    </xf>
    <xf numFmtId="0" fontId="2" fillId="2" borderId="2" applyAlignment="1" pivotButton="0" quotePrefix="0" xfId="0">
      <alignment horizontal="left"/>
    </xf>
    <xf numFmtId="3" fontId="2" fillId="2" borderId="2" applyAlignment="1" pivotButton="0" quotePrefix="0" xfId="0">
      <alignment horizontal="right"/>
    </xf>
    <xf numFmtId="10" fontId="2" fillId="2" borderId="2" applyAlignment="1" pivotButton="0" quotePrefix="0" xfId="0">
      <alignment horizontal="right"/>
    </xf>
    <xf numFmtId="0" fontId="2" fillId="4" borderId="1" applyAlignment="1" pivotButton="0" quotePrefix="0" xfId="0">
      <alignment horizontal="left"/>
    </xf>
    <xf numFmtId="10" fontId="2" fillId="4" borderId="1" applyAlignment="1" pivotButton="0" quotePrefix="0" xfId="0">
      <alignment horizontal="right"/>
    </xf>
    <xf numFmtId="0" fontId="2" fillId="5" borderId="2" applyAlignment="1" pivotButton="0" quotePrefix="0" xfId="0">
      <alignment horizontal="left"/>
    </xf>
    <xf numFmtId="10" fontId="4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4" customWidth="1" min="4" max="4"/>
    <col width="50" customWidth="1" min="5" max="5"/>
    <col width="15" customWidth="1" min="6" max="6"/>
    <col width="15" customWidth="1" min="7" max="7"/>
  </cols>
  <sheetData>
    <row r="1">
      <c r="A1" s="1" t="inlineStr">
        <is>
          <t>山札枚数 (N)</t>
        </is>
      </c>
      <c r="B1" s="2" t="n">
        <v>40</v>
      </c>
      <c r="C1" s="2" t="n">
        <v>39</v>
      </c>
    </row>
    <row r="2">
      <c r="A2" s="1" t="inlineStr">
        <is>
          <t>実質ドロー枚数 (n)</t>
        </is>
      </c>
      <c r="B2" s="2" t="n">
        <v>5</v>
      </c>
      <c r="C2" s="2" t="n">
        <v>4</v>
      </c>
    </row>
    <row r="3">
      <c r="A3" s="1" t="inlineStr">
        <is>
          <t>初期配置契約カード数</t>
        </is>
      </c>
      <c r="B3" s="2" t="n">
        <v>0</v>
      </c>
      <c r="C3" s="2" t="n">
        <v>1</v>
      </c>
    </row>
    <row r="4">
      <c r="A4" s="1" t="inlineStr">
        <is>
          <t>チヒロ枚数 (T)</t>
        </is>
      </c>
      <c r="B4" s="2">
        <f>SUM(B12)</f>
        <v/>
      </c>
      <c r="C4" s="2">
        <f>SUM(C12)</f>
        <v/>
      </c>
    </row>
    <row r="5">
      <c r="A5" s="1" t="inlineStr">
        <is>
          <t>サーチ枚数 (S)</t>
        </is>
      </c>
      <c r="B5" s="2" t="n">
        <v>0</v>
      </c>
      <c r="C5" s="2">
        <f>SUM(C13:C14)</f>
        <v/>
      </c>
    </row>
    <row r="6">
      <c r="A6" s="1" t="inlineStr">
        <is>
          <t>ハズレ枚数 (H)</t>
        </is>
      </c>
      <c r="B6" s="2">
        <f>B1-B3-B4-B5</f>
        <v/>
      </c>
      <c r="C6" s="2">
        <f>C1-C4-C5</f>
        <v/>
      </c>
    </row>
    <row r="9">
      <c r="A9" s="3" t="inlineStr">
        <is>
          <t>CardNo</t>
        </is>
      </c>
      <c r="B9" s="3" t="inlineStr">
        <is>
          <t>枚数</t>
        </is>
      </c>
      <c r="C9" s="3" t="n"/>
      <c r="E9" s="3" t="inlineStr">
        <is>
          <t>CardNo</t>
        </is>
      </c>
      <c r="F9" s="3" t="inlineStr">
        <is>
          <t>p初期手札で、手札にある確率 (累積条件付き確率)</t>
        </is>
      </c>
      <c r="G9" s="3" t="n"/>
    </row>
    <row r="10">
      <c r="A10" s="3" t="n"/>
      <c r="B10" s="3" t="inlineStr">
        <is>
          <t>Deck#0</t>
        </is>
      </c>
      <c r="C10" s="3" t="inlineStr">
        <is>
          <t>Deck#1</t>
        </is>
      </c>
      <c r="E10" s="3" t="n"/>
      <c r="F10" s="3" t="inlineStr">
        <is>
          <t>Deck#0</t>
        </is>
      </c>
      <c r="G10" s="3" t="inlineStr">
        <is>
          <t>Deck#1</t>
        </is>
      </c>
    </row>
    <row r="11">
      <c r="A11" s="4" t="inlineStr">
        <is>
          <t>Init</t>
        </is>
      </c>
      <c r="B11" s="5" t="n">
        <v>0</v>
      </c>
      <c r="C11" s="5" t="n">
        <v>0</v>
      </c>
      <c r="E11" s="4">
        <f>A11</f>
        <v/>
      </c>
      <c r="F11" s="6">
        <f>(COMBIN(B$1-SUM(B$11:B10), B$2)-COMBIN(B$1-SUM(B$11:B11), B$2))/COMBIN(B$1, B$2)</f>
        <v/>
      </c>
      <c r="G11" s="6">
        <f>(COMBIN(C$1-SUM(C$11:C10), C$2)-COMBIN(C$1-SUM(C$11:C11), C$2))/COMBIN(C$1, C$2)</f>
        <v/>
      </c>
    </row>
    <row r="12">
      <c r="A12" s="4" t="inlineStr">
        <is>
          <t>BSC32-025 日下 チヒロ (チヒロ)</t>
        </is>
      </c>
      <c r="B12" s="5" t="n">
        <v>3</v>
      </c>
      <c r="C12" s="5" t="n">
        <v>3</v>
      </c>
      <c r="E12" s="4">
        <f>A12</f>
        <v/>
      </c>
      <c r="F12" s="6">
        <f>(COMBIN(B$1-SUM(B$11:B11), B$2)-COMBIN(B$1-SUM(B$11:B12), B$2))/COMBIN(B$1, B$2)</f>
        <v/>
      </c>
      <c r="G12" s="6">
        <f>(COMBIN(C$1-SUM(C$11:C11), C$2)-COMBIN(C$1-SUM(C$11:C12), C$2))/COMBIN(C$1, C$2)</f>
        <v/>
      </c>
    </row>
    <row r="13">
      <c r="A13" s="4" t="inlineStr">
        <is>
          <t>BS44-CP01 世界幼竜グラン・ロロ・ドラゴン (幼ロロ)</t>
        </is>
      </c>
      <c r="B13" s="5" t="n">
        <v>0</v>
      </c>
      <c r="C13" s="5" t="n">
        <v>3</v>
      </c>
      <c r="E13" s="4">
        <f>A13</f>
        <v/>
      </c>
      <c r="F13" s="6">
        <f>(COMBIN(B$1-SUM(B$11:B12), B$2)-COMBIN(B$1-SUM(B$11:B13), B$2))/COMBIN(B$1, B$2)</f>
        <v/>
      </c>
      <c r="G13" s="6">
        <f>(COMBIN(C$1-SUM(C$11:C12), C$2)-COMBIN(C$1-SUM(C$11:C13), C$2))/COMBIN(C$1, C$2)</f>
        <v/>
      </c>
    </row>
    <row r="14">
      <c r="A14" s="4" t="inlineStr">
        <is>
          <t>BS72-084 キズナフィールド (キズナF)</t>
        </is>
      </c>
      <c r="B14" s="5" t="n">
        <v>0</v>
      </c>
      <c r="C14" s="5" t="n">
        <v>2</v>
      </c>
      <c r="E14" s="4">
        <f>A14</f>
        <v/>
      </c>
      <c r="F14" s="6">
        <f>(COMBIN(B$1-SUM(B$11:B13), B$2)-COMBIN(B$1-SUM(B$11:B14), B$2))/COMBIN(B$1, B$2)</f>
        <v/>
      </c>
      <c r="G14" s="6">
        <f>(COMBIN(C$1-SUM(C$11:C13), C$2)-COMBIN(C$1-SUM(C$11:C14), C$2))/COMBIN(C$1, C$2)</f>
        <v/>
      </c>
    </row>
    <row r="15">
      <c r="A15" s="4" t="inlineStr">
        <is>
          <t>BS67-CX03 プチフェニル (プチフェ)</t>
        </is>
      </c>
      <c r="B15" s="5" t="n">
        <v>0</v>
      </c>
      <c r="C15" s="5" t="n">
        <v>0</v>
      </c>
      <c r="E15" s="4">
        <f>A15</f>
        <v/>
      </c>
      <c r="F15" s="6">
        <f>(COMBIN(B$1-SUM(B$11:B14), B$2)-COMBIN(B$1-SUM(B$11:B15), B$2))/COMBIN(B$1, B$2)</f>
        <v/>
      </c>
      <c r="G15" s="6">
        <f>(COMBIN(C$1-SUM(C$11:C14), C$2)-COMBIN(C$1-SUM(C$11:C15), C$2))/COMBIN(C$1, C$2)</f>
        <v/>
      </c>
    </row>
    <row r="16">
      <c r="A16" s="4" t="inlineStr">
        <is>
          <t>SJ15-12 なんて古っ代！ファラオくん (ファラオ)</t>
        </is>
      </c>
      <c r="B16" s="5" t="n">
        <v>0</v>
      </c>
      <c r="C16" s="5" t="n">
        <v>3</v>
      </c>
      <c r="E16" s="4">
        <f>A16</f>
        <v/>
      </c>
      <c r="F16" s="6">
        <f>(COMBIN(B$1-SUM(B$11:B15), B$2)-COMBIN(B$1-SUM(B$11:B16), B$2))/COMBIN(B$1, B$2)</f>
        <v/>
      </c>
      <c r="G16" s="6">
        <f>(COMBIN(C$1-SUM(C$11:C15), C$2)-COMBIN(C$1-SUM(C$11:C16), C$2))/COMBIN(C$1, C$2)</f>
        <v/>
      </c>
    </row>
    <row r="17">
      <c r="A17" s="4" t="inlineStr">
        <is>
          <t>BS51-XX03 創界神アレックス＝ロロ (アレロロ)</t>
        </is>
      </c>
      <c r="B17" s="5" t="n">
        <v>0</v>
      </c>
      <c r="C17" s="5" t="n">
        <v>1</v>
      </c>
      <c r="E17" s="4">
        <f>A17</f>
        <v/>
      </c>
      <c r="F17" s="6">
        <f>(COMBIN(B$1-SUM(B$11:B16), B$2)-COMBIN(B$1-SUM(B$11:B17), B$2))/COMBIN(B$1, B$2)</f>
        <v/>
      </c>
      <c r="G17" s="6">
        <f>(COMBIN(C$1-SUM(C$11:C16), C$2)-COMBIN(C$1-SUM(C$11:C17), C$2))/COMBIN(C$1, C$2)</f>
        <v/>
      </c>
    </row>
    <row r="18">
      <c r="A18" s="4" t="inlineStr">
        <is>
          <t>BS48-064 神海賊船カリュブデス号 -女神顕現- (女神顕現)</t>
        </is>
      </c>
      <c r="B18" s="5" t="n">
        <v>0</v>
      </c>
      <c r="C18" s="5" t="n">
        <v>2</v>
      </c>
      <c r="E18" s="4">
        <f>A18</f>
        <v/>
      </c>
      <c r="F18" s="6">
        <f>(COMBIN(B$1-SUM(B$11:B17), B$2)-COMBIN(B$1-SUM(B$11:B18), B$2))/COMBIN(B$1, B$2)</f>
        <v/>
      </c>
      <c r="G18" s="6">
        <f>(COMBIN(C$1-SUM(C$11:C17), C$2)-COMBIN(C$1-SUM(C$11:C18), C$2))/COMBIN(C$1, C$2)</f>
        <v/>
      </c>
    </row>
    <row r="19">
      <c r="A19" s="4" t="inlineStr">
        <is>
          <t>BS45-055 エジットの天使モニファーエル (モニファ)</t>
        </is>
      </c>
      <c r="B19" s="5" t="n">
        <v>0</v>
      </c>
      <c r="C19" s="5" t="n">
        <v>3</v>
      </c>
      <c r="E19" s="4">
        <f>A19</f>
        <v/>
      </c>
      <c r="F19" s="6">
        <f>(COMBIN(B$1-SUM(B$11:B18), B$2)-COMBIN(B$1-SUM(B$11:B19), B$2))/COMBIN(B$1, B$2)</f>
        <v/>
      </c>
      <c r="G19" s="6">
        <f>(COMBIN(C$1-SUM(C$11:C18), C$2)-COMBIN(C$1-SUM(C$11:C19), C$2))/COMBIN(C$1, C$2)</f>
        <v/>
      </c>
    </row>
    <row r="20">
      <c r="A20" s="4" t="inlineStr">
        <is>
          <t>BS74-X01 龍神の覇王ジーク・ヤマト・フリード (ヤマト)</t>
        </is>
      </c>
      <c r="B20" s="5" t="n">
        <v>0</v>
      </c>
      <c r="C20" s="5" t="n">
        <v>3</v>
      </c>
      <c r="E20" s="4">
        <f>A20</f>
        <v/>
      </c>
      <c r="F20" s="6">
        <f>(COMBIN(B$1-SUM(B$11:B19), B$2)-COMBIN(B$1-SUM(B$11:B20), B$2))/COMBIN(B$1, B$2)</f>
        <v/>
      </c>
      <c r="G20" s="6">
        <f>(COMBIN(C$1-SUM(C$11:C19), C$2)-COMBIN(C$1-SUM(C$11:C20), C$2))/COMBIN(C$1, C$2)</f>
        <v/>
      </c>
    </row>
    <row r="21">
      <c r="A21" s="4" t="inlineStr">
        <is>
          <t>BS74-X06 氷傑の覇王ロード・ドラゴン・グレイザー (グレイザ)</t>
        </is>
      </c>
      <c r="B21" s="5" t="n">
        <v>0</v>
      </c>
      <c r="C21" s="5" t="n">
        <v>3</v>
      </c>
      <c r="E21" s="4">
        <f>A21</f>
        <v/>
      </c>
      <c r="F21" s="6">
        <f>(COMBIN(B$1-SUM(B$11:B20), B$2)-COMBIN(B$1-SUM(B$11:B21), B$2))/COMBIN(B$1, B$2)</f>
        <v/>
      </c>
      <c r="G21" s="6">
        <f>(COMBIN(C$1-SUM(C$11:C20), C$2)-COMBIN(C$1-SUM(C$11:C21), C$2))/COMBIN(C$1, C$2)</f>
        <v/>
      </c>
    </row>
    <row r="22">
      <c r="A22" s="4" t="inlineStr">
        <is>
          <t>BS74-X08 光輝の覇王ルナアーク・カグヤ (カグヤ)</t>
        </is>
      </c>
      <c r="B22" s="5" t="n">
        <v>0</v>
      </c>
      <c r="C22" s="5" t="n">
        <v>3</v>
      </c>
      <c r="E22" s="4">
        <f>A22</f>
        <v/>
      </c>
      <c r="F22" s="6">
        <f>(COMBIN(B$1-SUM(B$11:B21), B$2)-COMBIN(B$1-SUM(B$11:B22), B$2))/COMBIN(B$1, B$2)</f>
        <v/>
      </c>
      <c r="G22" s="6">
        <f>(COMBIN(C$1-SUM(C$11:C21), C$2)-COMBIN(C$1-SUM(C$11:C22), C$2))/COMBIN(C$1, C$2)</f>
        <v/>
      </c>
    </row>
    <row r="23">
      <c r="A23" s="4" t="inlineStr">
        <is>
          <t>BS74-X10 轟鉄の覇王サイゴード・ゴレム (サイゴ)</t>
        </is>
      </c>
      <c r="B23" s="5" t="n">
        <v>0</v>
      </c>
      <c r="C23" s="5" t="n">
        <v>3</v>
      </c>
      <c r="E23" s="4">
        <f>A23</f>
        <v/>
      </c>
      <c r="F23" s="6">
        <f>(COMBIN(B$1-SUM(B$11:B22), B$2)-COMBIN(B$1-SUM(B$11:B23), B$2))/COMBIN(B$1, B$2)</f>
        <v/>
      </c>
      <c r="G23" s="6">
        <f>(COMBIN(C$1-SUM(C$11:C22), C$2)-COMBIN(C$1-SUM(C$11:C23), C$2))/COMBIN(C$1, C$2)</f>
        <v/>
      </c>
    </row>
    <row r="24">
      <c r="A24" s="4" t="inlineStr">
        <is>
          <t>BS74-086 キズナリターン (キズナR)</t>
        </is>
      </c>
      <c r="B24" s="5" t="n">
        <v>0</v>
      </c>
      <c r="C24" s="5" t="n">
        <v>0</v>
      </c>
      <c r="E24" s="4">
        <f>A24</f>
        <v/>
      </c>
      <c r="F24" s="6">
        <f>(COMBIN(B$1-SUM(B$11:B23), B$2)-COMBIN(B$1-SUM(B$11:B24), B$2))/COMBIN(B$1, B$2)</f>
        <v/>
      </c>
      <c r="G24" s="6">
        <f>(COMBIN(C$1-SUM(C$11:C23), C$2)-COMBIN(C$1-SUM(C$11:C24), C$2))/COMBIN(C$1, C$2)</f>
        <v/>
      </c>
    </row>
    <row r="25">
      <c r="A25" s="4" t="inlineStr">
        <is>
          <t>BS55-X02 超覇王ロード・ドラゴン・零 (零)</t>
        </is>
      </c>
      <c r="B25" s="5" t="n">
        <v>0</v>
      </c>
      <c r="C25" s="5" t="n">
        <v>0</v>
      </c>
      <c r="E25" s="4">
        <f>A25</f>
        <v/>
      </c>
      <c r="F25" s="6">
        <f>(COMBIN(B$1-SUM(B$11:B24), B$2)-COMBIN(B$1-SUM(B$11:B25), B$2))/COMBIN(B$1, B$2)</f>
        <v/>
      </c>
      <c r="G25" s="6">
        <f>(COMBIN(C$1-SUM(C$11:C24), C$2)-COMBIN(C$1-SUM(C$11:C25), C$2))/COMBIN(C$1, C$2)</f>
        <v/>
      </c>
    </row>
    <row r="26">
      <c r="A26" s="4" t="inlineStr">
        <is>
          <t>X013 黄金皇ロード・ドラゴン・インティ (インティ)</t>
        </is>
      </c>
      <c r="B26" s="5" t="n">
        <v>0</v>
      </c>
      <c r="C26" s="5" t="n">
        <v>0</v>
      </c>
      <c r="E26" s="4">
        <f>A26</f>
        <v/>
      </c>
      <c r="F26" s="6">
        <f>(COMBIN(B$1-SUM(B$11:B25), B$2)-COMBIN(B$1-SUM(B$11:B26), B$2))/COMBIN(B$1, B$2)</f>
        <v/>
      </c>
      <c r="G26" s="6">
        <f>(COMBIN(C$1-SUM(C$11:C25), C$2)-COMBIN(C$1-SUM(C$11:C26), C$2))/COMBIN(C$1, C$2)</f>
        <v/>
      </c>
    </row>
    <row r="27">
      <c r="A27" s="4" t="inlineStr">
        <is>
          <t>BS54-009 雷の四天王サカターノ・ベア (サカタ)</t>
        </is>
      </c>
      <c r="B27" s="5" t="n">
        <v>0</v>
      </c>
      <c r="C27" s="5" t="n">
        <v>0</v>
      </c>
      <c r="E27" s="4">
        <f>A27</f>
        <v/>
      </c>
      <c r="F27" s="6">
        <f>(COMBIN(B$1-SUM(B$11:B26), B$2)-COMBIN(B$1-SUM(B$11:B27), B$2))/COMBIN(B$1, B$2)</f>
        <v/>
      </c>
      <c r="G27" s="6">
        <f>(COMBIN(C$1-SUM(C$11:C26), C$2)-COMBIN(C$1-SUM(C$11:C27), C$2))/COMBIN(C$1, C$2)</f>
        <v/>
      </c>
    </row>
    <row r="28">
      <c r="A28" s="4" t="inlineStr">
        <is>
          <t>その他</t>
        </is>
      </c>
      <c r="B28" s="5" t="n">
        <v>37</v>
      </c>
      <c r="C28" s="5" t="n">
        <v>13</v>
      </c>
      <c r="E28" s="4">
        <f>A28</f>
        <v/>
      </c>
      <c r="F28" s="6">
        <f>(COMBIN(B$1-SUM(B$11:B27), B$2)-COMBIN(B$1-SUM(B$11:B28), B$2))/COMBIN(B$1, B$2)</f>
        <v/>
      </c>
      <c r="G28" s="6">
        <f>(COMBIN(C$1-SUM(C$11:C27), C$2)-COMBIN(C$1-SUM(C$11:C28), C$2))/COMBIN(C$1, C$2)</f>
        <v/>
      </c>
    </row>
    <row r="29">
      <c r="A29" s="7" t="inlineStr">
        <is>
          <t>合計</t>
        </is>
      </c>
      <c r="B29" s="8">
        <f>SUM(B11:B28)</f>
        <v/>
      </c>
      <c r="C29" s="8">
        <f>SUM(C11:C28)</f>
        <v/>
      </c>
      <c r="E29" s="7" t="inlineStr">
        <is>
          <t>合計 (累積確率)</t>
        </is>
      </c>
      <c r="F29" s="9">
        <f>SUM(F11:F28)</f>
        <v/>
      </c>
      <c r="G29" s="9">
        <f>SUM(G11:G28)</f>
        <v/>
      </c>
    </row>
    <row r="30">
      <c r="E30" s="10" t="inlineStr">
        <is>
          <t>1回目: 直接チヒロを引く確率 (実質nドロー)</t>
        </is>
      </c>
      <c r="F30" s="11">
        <f>F12</f>
        <v/>
      </c>
      <c r="G30" s="11">
        <f>G12</f>
        <v/>
      </c>
    </row>
    <row r="31">
      <c r="E31" s="10" t="inlineStr">
        <is>
          <t>1回目: サーチ効果経由で引く確率 (実質nドロー)</t>
        </is>
      </c>
      <c r="F31" s="11">
        <f>0</f>
        <v/>
      </c>
      <c r="G31" s="11">
        <f>(G13+G14)*(1-COMBIN(C$1-4-3,3)/COMBIN(C$1-4,3))</f>
        <v/>
      </c>
    </row>
    <row r="32">
      <c r="E32" s="10" t="inlineStr">
        <is>
          <t>1回目ドロー総合成功確率 (p)</t>
        </is>
      </c>
      <c r="F32" s="11">
        <f>SUM(F30:F31)</f>
        <v/>
      </c>
      <c r="G32" s="11">
        <f>SUM(G30:G31)</f>
        <v/>
      </c>
    </row>
    <row r="33">
      <c r="E33" s="10" t="inlineStr">
        <is>
          <t>マリガン成功確率 (p_mulligan_total - 実質5枚ドロー)</t>
        </is>
      </c>
      <c r="F33" s="11">
        <f>1-(COMBIN(B$1-4-B$4,4)/COMBIN(B$1-4,4))*((B$1-4-B$4)/(B$1-4))</f>
        <v/>
      </c>
      <c r="G33" s="11">
        <f>1-((COMBIN(C$5,0)*COMBIN(C$6-3,4)/COMBIN(C$1-3,4))*(C$6-3)/(C$1-3)+(((COMBIN(C$5,1)*COMBIN(C$6-3,3)/COMBIN(C$1-3,4))*((C$6-2)/(C$1-3))+(COMBIN(C$5,0)*COMBIN(C$6-3,4)/COMBIN(C$1-3,4))*(C$5/(C$1-3)))*(COMBIN(C$1-4-C$4,3)/COMBIN(C$1-4,3)))+(((COMBIN(C$5,2)*COMBIN(C$6-3,2)/COMBIN(C$1-3,4))*((C$6-1)/(C$1-3))+(COMBIN(C$5,1)*COMBIN(C$6-3,3)/COMBIN(C$1-3,4))*((C$5-1)/(C$1-3)))*(COMBIN(C$1-4-C$4,6)/COMBIN(C$1-4,6)))+(((COMBIN(C$5,3)*COMBIN(C$6-3,1)/COMBIN(C$1-3,4))*(C$6/(C$1-3))+(COMBIN(C$5,2)*COMBIN(C$6-3,2)/COMBIN(C$1-3,4))*((C$5-2)/(C$1-3)))*(COMBIN(C$1-4-C$4,9)/COMBIN(C$1-4,9)))+(((COMBIN(C$5,4)*COMBIN(C$6-3,0)/COMBIN(C$1-3,4))*((C$6+1)/(C$1-3))+(COMBIN(C$5,3)*COMBIN(C$6-3,1)/COMBIN(C$1-3,4))*((C$5-3)/(C$1-3)))*(COMBIN(C$1-4-C$4,12)/COMBIN(C$1-4,12)))+(((COMBIN(C$5,4)*COMBIN(C$6-3,0)/COMBIN(C$1-3,4))*((C$5-4)/(C$1-3)))*(COMBIN(C$1-4-C$4,15)/COMBIN(C$1-4,15))))</f>
        <v/>
      </c>
    </row>
    <row r="34">
      <c r="E34" s="12" t="inlineStr">
        <is>
          <t>★最終成功確率 (マリガン判断を考慮した精密計算)</t>
        </is>
      </c>
      <c r="F34" s="13">
        <f>(1-COMBIN(B$1-B$4,4)/COMBIN(B$1,4))+(COMBIN(B$1-B$4,4)/COMBIN(B$1,4))*F33</f>
        <v/>
      </c>
      <c r="G34" s="13">
        <f>(((1-COMBIN(C$1-C$4,4)/COMBIN(C$1,4))+((COMBIN(C$1-C$4,4)-COMBIN(C$1-C$4-C$5,4))/COMBIN(C$1,4))*(1-COMBIN(C$1-4-C$4,3)/COMBIN(C$1-4,3)))+(COMBIN(C$6,3)/COMBIN(C$1,3))*G33)</f>
        <v/>
      </c>
    </row>
  </sheetData>
  <mergeCells count="4">
    <mergeCell ref="B9:C9"/>
    <mergeCell ref="A9:A10"/>
    <mergeCell ref="E9:E10"/>
    <mergeCell ref="F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2026-07-12T04:09:39Z</dcterms:created>
  <dcterms:modified xsi:type="dcterms:W3CDTF">2026-07-12T04:09:39Z</dcterms:modified>
</cp:coreProperties>
</file>